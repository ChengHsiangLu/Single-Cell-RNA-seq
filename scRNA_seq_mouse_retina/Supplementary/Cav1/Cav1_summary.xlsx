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/Users/luc/Desktop/To Brain/summary_050225/"/>
    </mc:Choice>
  </mc:AlternateContent>
  <xr:revisionPtr revIDLastSave="0" documentId="13_ncr:9_{9B75602A-D1B7-0149-8957-F564C4347417}" xr6:coauthVersionLast="47" xr6:coauthVersionMax="47" xr10:uidLastSave="{00000000-0000-0000-0000-000000000000}"/>
  <bookViews>
    <workbookView xWindow="-5360" yWindow="-21600" windowWidth="38400" windowHeight="21600" xr2:uid="{B894E623-C159-0741-9529-6EA3742DC367}"/>
  </bookViews>
  <sheets>
    <sheet name="documents" sheetId="2" r:id="rId1"/>
    <sheet name="Cav1_summa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<sst xmlns="http://schemas.openxmlformats.org/spreadsheetml/2006/main" count="80" uniqueCount="62">
  <si>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cluster</t>
  </si>
  <si>
    <t>Rp</t>
  </si>
  <si>
    <t>Rod photoreceptors</t>
  </si>
  <si>
    <t>RPE</t>
  </si>
  <si>
    <t>Retinal Pigment Epithelium</t>
  </si>
  <si>
    <t>SC_F</t>
  </si>
  <si>
    <t>Sclera &amp; Cornea and Fibroblasts</t>
  </si>
  <si>
    <t>Muller</t>
  </si>
  <si>
    <t>Müller Glial cells</t>
  </si>
  <si>
    <t>Microglia</t>
  </si>
  <si>
    <t>Microglia cells</t>
  </si>
  <si>
    <t>Cone</t>
  </si>
  <si>
    <t>Cone photoreceptors</t>
  </si>
  <si>
    <t>BC</t>
  </si>
  <si>
    <t>Bipolar cells</t>
  </si>
  <si>
    <t>AC</t>
  </si>
  <si>
    <t>Amacrine cells</t>
  </si>
  <si>
    <t>Melano</t>
  </si>
  <si>
    <t xml:space="preserve">Melanocytes </t>
  </si>
  <si>
    <t>Immune</t>
  </si>
  <si>
    <t xml:space="preserve">Immune cells </t>
  </si>
  <si>
    <t>Endo</t>
  </si>
  <si>
    <t xml:space="preserve">Endothelial cells </t>
  </si>
  <si>
    <t>R_BC</t>
  </si>
  <si>
    <t xml:space="preserve">Rod Bipolar cells </t>
  </si>
  <si>
    <t>other_BCs</t>
  </si>
  <si>
    <t>other Bipolar cells</t>
  </si>
  <si>
    <t>B_T</t>
  </si>
  <si>
    <t xml:space="preserve">B/T cells </t>
  </si>
  <si>
    <t>test</t>
  </si>
  <si>
    <t>Global_norvsOIR</t>
  </si>
  <si>
    <t>Tests the effect of OIR across genotypes (WT and Emp2ko combined).</t>
  </si>
  <si>
    <t>Global_WTvsEmp2ko</t>
  </si>
  <si>
    <t>Tests the effect of genotype (Emp2 knockout) across both oxygen conditions.</t>
  </si>
  <si>
    <t>WTvsEmp2ko_nor</t>
  </si>
  <si>
    <t>Genotype effect under normoxia only. (Baseline difference)</t>
  </si>
  <si>
    <t>WT_norvsOIR</t>
  </si>
  <si>
    <t>OIR effect within the WT genotype.</t>
  </si>
  <si>
    <t>Emp2ko_norvsOIR</t>
  </si>
  <si>
    <t>OIR effect within the Emp2 knockout genotype.</t>
  </si>
  <si>
    <t>statistic</t>
  </si>
  <si>
    <t>p_val</t>
  </si>
  <si>
    <t>Raw p-value from the statistical test (e.g., Wilcoxon rank-sum test by default).</t>
  </si>
  <si>
    <t>avg_log2FC</t>
  </si>
  <si>
    <t>Average log2 fold change in expression between the two groups being compared.</t>
  </si>
  <si>
    <t>TESTS STATISTICS</t>
  </si>
  <si>
    <t>EXPRESSION ESTIMATES</t>
  </si>
  <si>
    <t>Global_norvsOIR_p_val</t>
  </si>
  <si>
    <t>Global_norvsOIR_avg_log2FC</t>
  </si>
  <si>
    <t>Global_WTvsEmp2ko_p_val</t>
  </si>
  <si>
    <t>Global_WTvsEmp2ko_avg_log2FC</t>
  </si>
  <si>
    <t>WTvsEmp2ko_nor_p_val</t>
  </si>
  <si>
    <t>WTvsEmp2ko_nor_avg_log2FC</t>
  </si>
  <si>
    <t>WT_norvsOIR_p_val</t>
  </si>
  <si>
    <t>WT_norvsOIR_avg_log2FC</t>
  </si>
  <si>
    <t>Emp2ko_norvsOIR_p_val</t>
  </si>
  <si>
    <t>Emp2ko_norvsOIR_avg_log2FC</t>
  </si>
  <si>
    <t>WT_nor_p17</t>
  </si>
  <si>
    <t>WT_OIR_p17</t>
  </si>
  <si>
    <t>Emp2ko_nor_p17</t>
  </si>
  <si>
    <t>Emp2ko_OIR_p17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</si>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</sst>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0" xfId="0" applyFont="1"/>
    <xf numFmtId="0" fontId="18" fillId="0" borderId="13" xfId="0" applyFont="1" applyBorder="1" applyAlignment="1">
      <alignment wrapText="1"/>
    </xf>
    <xf numFmtId="0" fontId="0" fillId="0" borderId="10" xfId="0" applyBorder="1"/>
    <xf numFmtId="0" fontId="0" fillId="0" borderId="19" xfId="0" applyBorder="1"/>
    <xf numFmtId="0" fontId="0" fillId="0" borderId="11" xfId="0" applyBorder="1"/>
    <xf numFmtId="11" fontId="0" fillId="0" borderId="12" xfId="0" applyNumberFormat="1" applyBorder="1"/>
    <xf numFmtId="164" fontId="0" fillId="0" borderId="12" xfId="0" applyNumberFormat="1" applyBorder="1"/>
    <xf numFmtId="164" fontId="0" fillId="0" borderId="0" xfId="0" applyNumberFormat="1"/>
    <xf numFmtId="164" fontId="0" fillId="0" borderId="13" xfId="0" applyNumberFormat="1" applyBorder="1"/>
    <xf numFmtId="164" fontId="0" fillId="0" borderId="14" xfId="0" applyNumberFormat="1" applyBorder="1"/>
    <xf numFmtId="164" fontId="0" fillId="0" borderId="20" xfId="0" applyNumberFormat="1" applyBorder="1"/>
    <xf numFmtId="164" fontId="0" fillId="0" borderId="15" xfId="0" applyNumberFormat="1" applyBorder="1"/>
    <xf numFmtId="11" fontId="0" fillId="0" borderId="14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28D9-1BF8-A443-8AB5-25A4C7B0E319}">
  <dimension ref="A1:B28"/>
  <sheetViews>
    <sheetView tabSelected="1" zoomScale="140" zoomScaleNormal="140" workbookViewId="0">
      <selection activeCell="B31" sqref="B31"/>
    </sheetView>
  </sheetViews>
  <sheetFormatPr defaultColWidth="11" defaultRowHeight="15.95"/>
  <cols>
    <col min="1" max="1" width="20" bestFit="1" customWidth="1"/>
    <col min="2" max="2" width="71" bestFit="1" customWidth="1"/>
  </cols>
  <sheetData>
    <row r="1" spans="1:2">
      <c r="A1" s="1" t="s">
        <v>0</v>
      </c>
      <c r="B1" s="2"/>
    </row>
    <row r="2" spans="1:2">
      <c r="A2" s="3" t="s">
        <v>1</v>
      </c>
      <c r="B2" s="4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10</v>
      </c>
    </row>
    <row r="7" spans="1:2">
      <c r="A7" s="3" t="s">
        <v>11</v>
      </c>
      <c r="B7" s="4" t="s">
        <v>12</v>
      </c>
    </row>
    <row r="8" spans="1:2">
      <c r="A8" s="3" t="s">
        <v>13</v>
      </c>
      <c r="B8" s="4" t="s">
        <v>14</v>
      </c>
    </row>
    <row r="9" spans="1:2">
      <c r="A9" s="3" t="s">
        <v>15</v>
      </c>
      <c r="B9" s="4" t="s">
        <v>16</v>
      </c>
    </row>
    <row r="10" spans="1:2">
      <c r="A10" s="3" t="s">
        <v>17</v>
      </c>
      <c r="B10" s="4" t="s">
        <v>18</v>
      </c>
    </row>
    <row r="11" spans="1:2">
      <c r="A11" s="3" t="s">
        <v>19</v>
      </c>
      <c r="B11" s="4" t="s">
        <v>20</v>
      </c>
    </row>
    <row r="12" spans="1:2">
      <c r="A12" s="3" t="s">
        <v>21</v>
      </c>
      <c r="B12" s="4" t="s">
        <v>22</v>
      </c>
    </row>
    <row r="13" spans="1:2">
      <c r="A13" s="3" t="s">
        <v>23</v>
      </c>
      <c r="B13" s="4" t="s">
        <v>24</v>
      </c>
    </row>
    <row r="14" spans="1:2">
      <c r="A14" s="3" t="s">
        <v>25</v>
      </c>
      <c r="B14" s="4" t="s">
        <v>26</v>
      </c>
    </row>
    <row r="15" spans="1:2" ht="17.100000000000001" thickBot="1">
      <c r="A15" s="5" t="s">
        <v>27</v>
      </c>
      <c r="B15" s="6" t="s">
        <v>28</v>
      </c>
    </row>
    <row r="16" spans="1:2">
      <c r="A16" s="7"/>
      <c r="B16" s="7"/>
    </row>
    <row r="17" spans="1:2" ht="17.100000000000001" thickBot="1">
      <c r="A17" s="7"/>
      <c r="B17" s="7"/>
    </row>
    <row r="18" spans="1:2">
      <c r="A18" s="1" t="s">
        <v>29</v>
      </c>
      <c r="B18" s="2"/>
    </row>
    <row r="19" spans="1:2">
      <c r="A19" s="3" t="s">
        <v>30</v>
      </c>
      <c r="B19" s="4" t="s">
        <v>31</v>
      </c>
    </row>
    <row r="20" spans="1:2">
      <c r="A20" s="3" t="s">
        <v>32</v>
      </c>
      <c r="B20" s="4" t="s">
        <v>33</v>
      </c>
    </row>
    <row r="21" spans="1:2">
      <c r="A21" s="3" t="s">
        <v>34</v>
      </c>
      <c r="B21" s="4" t="s">
        <v>35</v>
      </c>
    </row>
    <row r="22" spans="1:2">
      <c r="A22" s="3" t="s">
        <v>36</v>
      </c>
      <c r="B22" s="4" t="s">
        <v>37</v>
      </c>
    </row>
    <row r="23" spans="1:2" ht="17.100000000000001" thickBot="1">
      <c r="A23" s="5" t="s">
        <v>38</v>
      </c>
      <c r="B23" s="6" t="s">
        <v>39</v>
      </c>
    </row>
    <row r="25" spans="1:2" ht="17.100000000000001" thickBot="1"/>
    <row r="26" spans="1:2">
      <c r="A26" s="1" t="s">
        <v>40</v>
      </c>
      <c r="B26" s="2"/>
    </row>
    <row r="27" spans="1:2" ht="15.95" customHeight="1">
      <c r="A27" s="3" t="s">
        <v>41</v>
      </c>
      <c r="B27" s="8" t="s">
        <v>42</v>
      </c>
    </row>
    <row r="28" spans="1:2" ht="17.100000000000001" thickBot="1">
      <c r="A28" s="5" t="s">
        <v>43</v>
      </c>
      <c r="B28" s="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CEBE-21EA-1247-BAA8-3F717AA2E234}">
  <dimension ref="A1:O16"/>
  <sheetViews>
    <sheetView workbookViewId="0">
      <selection activeCell="E31" sqref="E31"/>
    </sheetView>
  </sheetViews>
  <sheetFormatPr defaultColWidth="11" defaultRowHeight="15.95"/>
  <cols>
    <col min="2" max="2" width="19.875" bestFit="1" customWidth="1"/>
    <col min="3" max="3" width="25" bestFit="1" customWidth="1"/>
    <col min="4" max="4" width="23.125" bestFit="1" customWidth="1"/>
    <col min="5" max="5" width="28.375" bestFit="1" customWidth="1"/>
    <col min="6" max="6" width="20.375" bestFit="1" customWidth="1"/>
    <col min="7" max="7" width="25.5" bestFit="1" customWidth="1"/>
    <col min="8" max="8" width="17" bestFit="1" customWidth="1"/>
    <col min="9" max="9" width="22.125" bestFit="1" customWidth="1"/>
    <col min="10" max="10" width="20.875" bestFit="1" customWidth="1"/>
    <col min="11" max="11" width="26" bestFit="1" customWidth="1"/>
    <col min="12" max="13" width="12.125" bestFit="1" customWidth="1"/>
    <col min="14" max="14" width="14.875" bestFit="1" customWidth="1"/>
    <col min="15" max="15" width="15.125" bestFit="1" customWidth="1"/>
  </cols>
  <sheetData>
    <row r="1" spans="1:15" ht="17.100000000000001" thickBot="1">
      <c r="B1" s="22" t="s">
        <v>45</v>
      </c>
      <c r="C1" s="23"/>
      <c r="D1" s="23"/>
      <c r="E1" s="23"/>
      <c r="F1" s="23"/>
      <c r="G1" s="23"/>
      <c r="H1" s="23"/>
      <c r="I1" s="23"/>
      <c r="J1" s="23"/>
      <c r="K1" s="24"/>
      <c r="L1" s="25" t="s">
        <v>46</v>
      </c>
      <c r="M1" s="26"/>
      <c r="N1" s="26"/>
      <c r="O1" s="27"/>
    </row>
    <row r="2" spans="1:15">
      <c r="A2" t="s">
        <v>0</v>
      </c>
      <c r="B2" s="9" t="s">
        <v>47</v>
      </c>
      <c r="C2" s="11" t="s">
        <v>48</v>
      </c>
      <c r="D2" s="9" t="s">
        <v>49</v>
      </c>
      <c r="E2" s="11" t="s">
        <v>50</v>
      </c>
      <c r="F2" s="9" t="s">
        <v>51</v>
      </c>
      <c r="G2" s="11" t="s">
        <v>52</v>
      </c>
      <c r="H2" s="9" t="s">
        <v>53</v>
      </c>
      <c r="I2" s="11" t="s">
        <v>54</v>
      </c>
      <c r="J2" s="9" t="s">
        <v>55</v>
      </c>
      <c r="K2" s="11" t="s">
        <v>56</v>
      </c>
      <c r="L2" s="9" t="s">
        <v>57</v>
      </c>
      <c r="M2" s="10" t="s">
        <v>58</v>
      </c>
      <c r="N2" s="10" t="s">
        <v>59</v>
      </c>
      <c r="O2" s="11" t="s">
        <v>60</v>
      </c>
    </row>
    <row r="3" spans="1:15">
      <c r="A3" t="s">
        <v>1</v>
      </c>
      <c r="B3" s="12">
        <v>0.275111253115566</v>
      </c>
      <c r="C3" s="20">
        <v>-0.51619194409659197</v>
      </c>
      <c r="D3" s="12">
        <v>8.83269847303176E-5</v>
      </c>
      <c r="E3" s="20">
        <v>-0.704366390282823</v>
      </c>
      <c r="F3" s="12">
        <v>6.0223919828186798E-2</v>
      </c>
      <c r="G3" s="20">
        <v>-0.55141881350412802</v>
      </c>
      <c r="H3" s="12">
        <v>0.76205674348472996</v>
      </c>
      <c r="I3" s="20">
        <v>-0.41033146796002501</v>
      </c>
      <c r="J3" s="12">
        <v>0.251688433173063</v>
      </c>
      <c r="K3" s="20">
        <v>-0.61179673540676804</v>
      </c>
      <c r="L3" s="13">
        <v>2.3383858038285101E-2</v>
      </c>
      <c r="M3" s="14">
        <v>1.7658195882810701E-2</v>
      </c>
      <c r="N3" s="14">
        <v>1.55650360545231E-2</v>
      </c>
      <c r="O3" s="15">
        <v>1.029805460106E-2</v>
      </c>
    </row>
    <row r="4" spans="1:15">
      <c r="A4" t="s">
        <v>3</v>
      </c>
      <c r="B4" s="12">
        <v>0.50263021244742001</v>
      </c>
      <c r="C4" s="20">
        <v>0.77750407556998802</v>
      </c>
      <c r="D4" s="12">
        <v>7.5553734765407193E-2</v>
      </c>
      <c r="E4" s="20">
        <v>-1.04175626698496</v>
      </c>
      <c r="F4" s="12">
        <v>0.17608562699133901</v>
      </c>
      <c r="G4" s="20">
        <v>-1.02254785273039</v>
      </c>
      <c r="H4" s="12">
        <v>0.65766529622272896</v>
      </c>
      <c r="I4" s="20">
        <v>0.65815473349123499</v>
      </c>
      <c r="J4" s="12">
        <v>0.56277221939418598</v>
      </c>
      <c r="K4" s="20">
        <v>0.86300658670493002</v>
      </c>
      <c r="L4" s="13">
        <v>1.14549438534818E-2</v>
      </c>
      <c r="M4" s="14">
        <v>1.9044557300582899E-2</v>
      </c>
      <c r="N4" s="14">
        <v>4.0150028160594303E-3</v>
      </c>
      <c r="O4" s="15">
        <v>9.2464871352999408E-3</v>
      </c>
    </row>
    <row r="5" spans="1:15">
      <c r="A5" t="s">
        <v>5</v>
      </c>
      <c r="B5" s="12">
        <v>0.861660156364775</v>
      </c>
      <c r="C5" s="20">
        <v>2.6365939173682799E-2</v>
      </c>
      <c r="D5" s="12">
        <v>0.69116191222808698</v>
      </c>
      <c r="E5" s="20">
        <v>0.14042829434550599</v>
      </c>
      <c r="F5" s="12">
        <v>0.76380896444330304</v>
      </c>
      <c r="G5" s="20">
        <v>-0.222834774620744</v>
      </c>
      <c r="H5" s="12">
        <v>0.64352596910583104</v>
      </c>
      <c r="I5" s="20">
        <v>-0.34209734467858999</v>
      </c>
      <c r="J5" s="12">
        <v>0.44975297390820101</v>
      </c>
      <c r="K5" s="20">
        <v>0.477931196708552</v>
      </c>
      <c r="L5" s="13">
        <v>0.46097212914153102</v>
      </c>
      <c r="M5" s="14">
        <v>0.36027745322082</v>
      </c>
      <c r="N5" s="14">
        <v>0.39140840834679602</v>
      </c>
      <c r="O5" s="15">
        <v>0.54641919968067898</v>
      </c>
    </row>
    <row r="6" spans="1:15">
      <c r="A6" t="s">
        <v>7</v>
      </c>
      <c r="B6" s="12">
        <v>8.9255482037386001E-12</v>
      </c>
      <c r="C6" s="20">
        <v>-0.37195619439076999</v>
      </c>
      <c r="D6" s="12">
        <v>0.67631513627631201</v>
      </c>
      <c r="E6" s="20">
        <v>4.6810829178158597E-2</v>
      </c>
      <c r="F6" s="12">
        <v>3.3467415779680099E-2</v>
      </c>
      <c r="G6" s="20">
        <v>0.119886491554928</v>
      </c>
      <c r="H6" s="12">
        <v>6.2058977123952496E-6</v>
      </c>
      <c r="I6" s="20">
        <v>-0.37471398807637502</v>
      </c>
      <c r="J6" s="12">
        <v>8.4017792325979801E-8</v>
      </c>
      <c r="K6" s="20">
        <v>-0.40298376544817199</v>
      </c>
      <c r="L6" s="13">
        <v>2.3816872653600001</v>
      </c>
      <c r="M6" s="14">
        <v>1.8309427032500301</v>
      </c>
      <c r="N6" s="14">
        <v>2.58100900167425</v>
      </c>
      <c r="O6" s="15">
        <v>1.95045853489684</v>
      </c>
    </row>
    <row r="7" spans="1:15">
      <c r="A7" t="s">
        <v>9</v>
      </c>
      <c r="B7" s="12">
        <v>1.05027501689345E-2</v>
      </c>
      <c r="C7" s="20">
        <v>-1.62757417466649</v>
      </c>
      <c r="D7" s="12">
        <v>0.86655571465049297</v>
      </c>
      <c r="E7" s="20">
        <v>0.62368351417256795</v>
      </c>
      <c r="F7" s="12">
        <v>0.95990277040547201</v>
      </c>
      <c r="G7" s="20">
        <v>0.94451203800289796</v>
      </c>
      <c r="H7" s="12">
        <v>2.2765710426271801E-2</v>
      </c>
      <c r="I7" s="20">
        <v>-2.26327877015291</v>
      </c>
      <c r="J7" s="12">
        <v>0.22662895913137801</v>
      </c>
      <c r="K7" s="20">
        <v>-1.5342521886129299</v>
      </c>
      <c r="L7" s="13">
        <v>4.7634473324325403E-2</v>
      </c>
      <c r="M7" s="14">
        <v>0</v>
      </c>
      <c r="N7" s="14">
        <v>4.7932956418101698E-2</v>
      </c>
      <c r="O7" s="15">
        <v>2.74825761098134E-2</v>
      </c>
    </row>
    <row r="8" spans="1:15">
      <c r="A8" t="s">
        <v>11</v>
      </c>
      <c r="B8" s="12">
        <v>0.96965992569997606</v>
      </c>
      <c r="C8" s="20">
        <v>0.53863392176996605</v>
      </c>
      <c r="D8" s="12">
        <v>0.25189855995624399</v>
      </c>
      <c r="E8" s="20">
        <v>0.71888317257318302</v>
      </c>
      <c r="F8" s="12">
        <v>2.0216467854597801E-2</v>
      </c>
      <c r="G8" s="20">
        <v>2.0745659149028399</v>
      </c>
      <c r="H8" s="12">
        <v>9.4592439160356506E-2</v>
      </c>
      <c r="I8" s="20">
        <v>1.7463410531708401</v>
      </c>
      <c r="J8" s="12">
        <v>0.193574970513922</v>
      </c>
      <c r="K8" s="20">
        <v>-0.56487373532003604</v>
      </c>
      <c r="L8" s="13">
        <v>0</v>
      </c>
      <c r="M8" s="14">
        <v>4.8582797115879997E-2</v>
      </c>
      <c r="N8" s="14">
        <v>5.7927741985693497E-2</v>
      </c>
      <c r="O8" s="15">
        <v>3.9092712572733203E-2</v>
      </c>
    </row>
    <row r="9" spans="1:15">
      <c r="A9" t="s">
        <v>13</v>
      </c>
      <c r="B9" s="12">
        <v>0.57697779559576701</v>
      </c>
      <c r="C9" s="20">
        <v>-0.46602034920313301</v>
      </c>
      <c r="D9" s="12">
        <v>0.86497417416278299</v>
      </c>
      <c r="E9" s="20">
        <v>0.28158778439457699</v>
      </c>
      <c r="F9" s="12">
        <v>0.229130044329064</v>
      </c>
      <c r="G9" s="20">
        <v>-9.49057762196195E-2</v>
      </c>
      <c r="H9" s="12">
        <v>0.10436105890026499</v>
      </c>
      <c r="I9" s="20">
        <v>-1.0244342879561199</v>
      </c>
      <c r="J9" s="12">
        <v>0.375875621145845</v>
      </c>
      <c r="K9" s="20">
        <v>2.6932776472846899E-2</v>
      </c>
      <c r="L9" s="13">
        <v>7.2261438791253296E-2</v>
      </c>
      <c r="M9" s="14">
        <v>1.6228042531373599E-2</v>
      </c>
      <c r="N9" s="14">
        <v>6.0327466438194199E-2</v>
      </c>
      <c r="O9" s="15">
        <v>6.5196223032128797E-2</v>
      </c>
    </row>
    <row r="10" spans="1:15">
      <c r="A10" t="s">
        <v>15</v>
      </c>
      <c r="B10" s="12">
        <v>0.52913496118796299</v>
      </c>
      <c r="C10" s="20">
        <v>0.84048968766251098</v>
      </c>
      <c r="D10" s="12">
        <v>0.92682912714736498</v>
      </c>
      <c r="E10" s="20">
        <v>-0.42438667449524198</v>
      </c>
      <c r="F10" s="12">
        <v>0.97745635326491398</v>
      </c>
      <c r="G10" s="20">
        <v>0.21256945995593299</v>
      </c>
      <c r="H10" s="12">
        <v>0.51858526433748298</v>
      </c>
      <c r="I10" s="20">
        <v>1.03275386891442</v>
      </c>
      <c r="J10" s="12">
        <v>0.88288425150129402</v>
      </c>
      <c r="K10" s="20">
        <v>0.39335972624108501</v>
      </c>
      <c r="L10" s="13">
        <v>2.58227576781805E-2</v>
      </c>
      <c r="M10" s="14">
        <v>5.6068185788541197E-2</v>
      </c>
      <c r="N10" s="14">
        <v>1.32037404910091E-2</v>
      </c>
      <c r="O10" s="15">
        <v>1.6632264637741302E-2</v>
      </c>
    </row>
    <row r="11" spans="1:15">
      <c r="A11" t="s">
        <v>17</v>
      </c>
      <c r="B11" s="12">
        <v>0.424118502500203</v>
      </c>
      <c r="C11" s="20">
        <v>0.27797816682918802</v>
      </c>
      <c r="D11" s="12">
        <v>0.567866000541287</v>
      </c>
      <c r="E11" s="20">
        <v>9.4832331184311405E-2</v>
      </c>
      <c r="F11" s="12">
        <v>0.221381767005282</v>
      </c>
      <c r="G11" s="20">
        <v>0.309376817173381</v>
      </c>
      <c r="H11" s="12">
        <v>0.171019547159171</v>
      </c>
      <c r="I11" s="20">
        <v>0.497138370388026</v>
      </c>
      <c r="J11" s="12">
        <v>0.49104306565345601</v>
      </c>
      <c r="K11" s="20">
        <v>-0.15591652443141801</v>
      </c>
      <c r="L11" s="13">
        <v>1.01090982647675</v>
      </c>
      <c r="M11" s="14">
        <v>1.40993543839749</v>
      </c>
      <c r="N11" s="14">
        <v>1.2381358666895601</v>
      </c>
      <c r="O11" s="15">
        <v>1.06333421899411</v>
      </c>
    </row>
    <row r="12" spans="1:15">
      <c r="A12" t="s">
        <v>19</v>
      </c>
      <c r="B12" s="12">
        <v>0.45797929572224</v>
      </c>
      <c r="C12" s="20">
        <v>-0.15818320294334801</v>
      </c>
      <c r="D12" s="12">
        <v>0.65733220639101297</v>
      </c>
      <c r="E12" s="20">
        <v>-0.67726414107936395</v>
      </c>
      <c r="F12" s="12">
        <v>0.33928214204026902</v>
      </c>
      <c r="G12" s="20">
        <v>4.15688800964173E-2</v>
      </c>
      <c r="H12" s="12">
        <v>0.24013599913407399</v>
      </c>
      <c r="I12" s="20">
        <v>-0.25939466930146199</v>
      </c>
      <c r="J12" s="12">
        <v>0.54999836392675705</v>
      </c>
      <c r="K12" s="20">
        <v>-0.68007891458565795</v>
      </c>
      <c r="L12" s="13">
        <v>3.7701254831576499E-2</v>
      </c>
      <c r="M12" s="14">
        <v>4.3571313093750202E-2</v>
      </c>
      <c r="N12" s="14">
        <v>0</v>
      </c>
      <c r="O12" s="15">
        <v>1.57520227072908E-2</v>
      </c>
    </row>
    <row r="13" spans="1:15">
      <c r="A13" t="s">
        <v>21</v>
      </c>
      <c r="B13" s="12">
        <v>0.13946131752026</v>
      </c>
      <c r="C13" s="20">
        <v>0.16885139942266</v>
      </c>
      <c r="D13" s="12">
        <v>0.94940132489170204</v>
      </c>
      <c r="E13" s="20">
        <v>1.5819558984645699E-2</v>
      </c>
      <c r="F13" s="12">
        <v>0.198379144772385</v>
      </c>
      <c r="G13" s="20">
        <v>-0.193700674863553</v>
      </c>
      <c r="H13" s="12">
        <v>0.60169682661622803</v>
      </c>
      <c r="I13" s="20">
        <v>6.6140677790377106E-2</v>
      </c>
      <c r="J13" s="12">
        <v>7.3292755148625793E-2</v>
      </c>
      <c r="K13" s="20">
        <v>0.37224742993357002</v>
      </c>
      <c r="L13" s="13">
        <v>1.8971391284172601</v>
      </c>
      <c r="M13" s="14">
        <v>1.99213199443282</v>
      </c>
      <c r="N13" s="14">
        <v>1.6036544168039799</v>
      </c>
      <c r="O13" s="15">
        <v>2.1401040690996598</v>
      </c>
    </row>
    <row r="14" spans="1:15">
      <c r="A14" t="s">
        <v>23</v>
      </c>
      <c r="B14" s="12">
        <v>0.65859447442496</v>
      </c>
      <c r="C14" s="20">
        <v>0.50850343501983797</v>
      </c>
      <c r="D14" s="12">
        <v>3.6991771894704303E-2</v>
      </c>
      <c r="E14" s="20">
        <v>1.47580924034948</v>
      </c>
      <c r="F14" s="12">
        <v>1.8072732441270702E-2</v>
      </c>
      <c r="G14" s="20">
        <v>2.7572326949022798</v>
      </c>
      <c r="H14" s="12">
        <v>0.27139601757305998</v>
      </c>
      <c r="I14" s="20">
        <v>1.5964965191764799</v>
      </c>
      <c r="J14" s="12">
        <v>0.58496198518482601</v>
      </c>
      <c r="K14" s="20">
        <v>-0.94470183903919702</v>
      </c>
      <c r="L14" s="13">
        <v>0</v>
      </c>
      <c r="M14" s="14">
        <v>5.58843155174105E-2</v>
      </c>
      <c r="N14" s="14">
        <v>0.12718708581149099</v>
      </c>
      <c r="O14" s="15">
        <v>6.0677435432593102E-2</v>
      </c>
    </row>
    <row r="15" spans="1:15">
      <c r="A15" t="s">
        <v>25</v>
      </c>
      <c r="B15" s="12">
        <v>0.40944348905537797</v>
      </c>
      <c r="C15" s="20">
        <v>-0.15948238701570699</v>
      </c>
      <c r="D15" s="12">
        <v>0.26538186295893501</v>
      </c>
      <c r="E15" s="20">
        <v>-0.89987311034146999</v>
      </c>
      <c r="F15" s="12">
        <v>0.96609671338327296</v>
      </c>
      <c r="G15" s="20">
        <v>0.428405431942736</v>
      </c>
      <c r="H15" s="12">
        <v>0.93439868350612898</v>
      </c>
      <c r="I15" s="20">
        <v>0.42699883276149098</v>
      </c>
      <c r="J15" s="12">
        <v>0.20020078287121701</v>
      </c>
      <c r="K15" s="20">
        <v>-1.2869346352497999</v>
      </c>
      <c r="L15" s="13">
        <v>3.5103887486971699E-2</v>
      </c>
      <c r="M15" s="14">
        <v>7.1885629162948397E-2</v>
      </c>
      <c r="N15" s="14">
        <v>3.10954322861106E-2</v>
      </c>
      <c r="O15" s="15">
        <v>0</v>
      </c>
    </row>
    <row r="16" spans="1:15" ht="17.100000000000001" thickBot="1">
      <c r="A16" t="s">
        <v>27</v>
      </c>
      <c r="B16" s="19">
        <v>0.60098433260942397</v>
      </c>
      <c r="C16" s="21">
        <v>-1.6425846530928701</v>
      </c>
      <c r="D16" s="19">
        <v>0.161348878315758</v>
      </c>
      <c r="E16" s="21">
        <v>-1.0419135211792001</v>
      </c>
      <c r="F16" s="19" t="s">
        <v>61</v>
      </c>
      <c r="G16" s="21" t="s">
        <v>61</v>
      </c>
      <c r="H16" s="19" t="s">
        <v>61</v>
      </c>
      <c r="I16" s="21" t="s">
        <v>61</v>
      </c>
      <c r="J16" s="19">
        <v>1</v>
      </c>
      <c r="K16" s="21">
        <v>-1.7369655941662101</v>
      </c>
      <c r="L16" s="16">
        <v>0</v>
      </c>
      <c r="M16" s="17">
        <v>4.2358269761985701E-2</v>
      </c>
      <c r="N16" s="17">
        <v>0</v>
      </c>
      <c r="O16" s="18">
        <v>0</v>
      </c>
    </row>
  </sheetData>
  <mergeCells count="2">
    <mergeCell ref="B1:K1"/>
    <mergeCell ref="L1:O1"/>
  </mergeCells>
  <conditionalFormatting sqref="L3:O16">
    <cfRule type="colorScale" priority="2">
      <colorScale>
        <cfvo type="min"/>
        <cfvo type="max"/>
        <color theme="0"/>
        <color rgb="FFFF0000"/>
      </colorScale>
    </cfRule>
  </conditionalFormatting>
  <conditionalFormatting sqref="B3:B16 D3:D16 F3:F16 H3:H16 J3:J16">
    <cfRule type="colorScale" priority="1">
      <colorScale>
        <cfvo type="min"/>
        <cfvo type="num" val="0.05"/>
        <cfvo type="max"/>
        <color rgb="FFFF7128"/>
        <color theme="0"/>
        <color theme="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Casero, David</cp:lastModifiedBy>
  <cp:revision/>
  <dcterms:created xsi:type="dcterms:W3CDTF">2025-05-08T17:49:18Z</dcterms:created>
  <dcterms:modified xsi:type="dcterms:W3CDTF">2025-08-13T17:52:16Z</dcterms:modified>
  <cp:category/>
  <cp:contentStatus/>
</cp:coreProperties>
</file>